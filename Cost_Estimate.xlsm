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ev\jamar1391.github.io\"/>
    </mc:Choice>
  </mc:AlternateContent>
  <xr:revisionPtr revIDLastSave="0" documentId="8_{52A64728-91BB-44E9-B337-3B83E78AB2D9}" xr6:coauthVersionLast="44" xr6:coauthVersionMax="44" xr10:uidLastSave="{00000000-0000-0000-0000-000000000000}"/>
  <bookViews>
    <workbookView xWindow="1116" yWindow="1116" windowWidth="19944" windowHeight="10980" xr2:uid="{00000000-000D-0000-FFFF-FFFF00000000}"/>
  </bookViews>
  <sheets>
    <sheet name="Cost Estimating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" l="1"/>
  <c r="C12" i="2" s="1"/>
  <c r="I8" i="2"/>
  <c r="I6" i="2"/>
  <c r="I4" i="2"/>
  <c r="F11" i="2" l="1"/>
  <c r="F18" i="2"/>
  <c r="C34" i="2" l="1"/>
  <c r="C37" i="2" s="1"/>
  <c r="E26" i="2" l="1"/>
  <c r="E27" i="2"/>
  <c r="E28" i="2"/>
  <c r="E29" i="2"/>
  <c r="E30" i="2"/>
  <c r="E25" i="2"/>
  <c r="E31" i="2" l="1"/>
  <c r="C35" i="2" s="1"/>
  <c r="F17" i="2"/>
  <c r="F19" i="2"/>
  <c r="F20" i="2"/>
  <c r="F21" i="2"/>
  <c r="F22" i="2" l="1"/>
  <c r="C36" i="2" s="1"/>
  <c r="C38" i="2" s="1"/>
</calcChain>
</file>

<file path=xl/sharedStrings.xml><?xml version="1.0" encoding="utf-8"?>
<sst xmlns="http://schemas.openxmlformats.org/spreadsheetml/2006/main" count="59" uniqueCount="48">
  <si>
    <t>Tons of Steel</t>
  </si>
  <si>
    <t>Cost</t>
  </si>
  <si>
    <t>Equipment</t>
  </si>
  <si>
    <t>Dump Truck</t>
  </si>
  <si>
    <t>Quantity</t>
  </si>
  <si>
    <t>Duration (days)</t>
  </si>
  <si>
    <t>Crane</t>
  </si>
  <si>
    <t>Concrete Truck</t>
  </si>
  <si>
    <t>Cost Per Day</t>
  </si>
  <si>
    <t>Total Cost</t>
  </si>
  <si>
    <t>Pipeline Calculations</t>
  </si>
  <si>
    <t>Pipeline Diameter</t>
  </si>
  <si>
    <t>inch</t>
  </si>
  <si>
    <t>Steel Density</t>
  </si>
  <si>
    <t>lbs/ft3</t>
  </si>
  <si>
    <t>Line Pipe</t>
  </si>
  <si>
    <t>Pump(s)</t>
  </si>
  <si>
    <t>Pump Selection</t>
  </si>
  <si>
    <t>A</t>
  </si>
  <si>
    <t>B</t>
  </si>
  <si>
    <t>C</t>
  </si>
  <si>
    <t>D</t>
  </si>
  <si>
    <t>E</t>
  </si>
  <si>
    <t>F</t>
  </si>
  <si>
    <t>Pump Station Facility Costs</t>
  </si>
  <si>
    <t>Total Cost Summary</t>
  </si>
  <si>
    <t>Pump Station Construction</t>
  </si>
  <si>
    <t>Pipeline Construction</t>
  </si>
  <si>
    <t>Given</t>
  </si>
  <si>
    <t>Team Entry</t>
  </si>
  <si>
    <t>Calculation</t>
  </si>
  <si>
    <t>Result</t>
  </si>
  <si>
    <t>tons</t>
  </si>
  <si>
    <t>feet</t>
  </si>
  <si>
    <t>WT mill Run 1</t>
  </si>
  <si>
    <t>WT mill Run 2</t>
  </si>
  <si>
    <t>WT mill Run 3</t>
  </si>
  <si>
    <t>Length Check</t>
  </si>
  <si>
    <t>Length (Mill Run 1)</t>
  </si>
  <si>
    <t>Length (Mill Run 2)</t>
  </si>
  <si>
    <t>Length (Mill Run 3)</t>
  </si>
  <si>
    <t>Track Hoe (Soil)</t>
  </si>
  <si>
    <t>Track Hoe (Rock)</t>
  </si>
  <si>
    <t>A1</t>
  </si>
  <si>
    <t>A2</t>
  </si>
  <si>
    <t>A3</t>
  </si>
  <si>
    <t>ft2</t>
  </si>
  <si>
    <t>A_pipe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</si>
</sst>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">
    <xf numFmtId="0" fontId="0" fillId="0" borderId="0" xfId="0"/>
    <xf numFmtId="44" fontId="0" fillId="0" borderId="0" xfId="1" applyFont="1"/>
    <xf numFmtId="0" fontId="0" fillId="0" borderId="1" xfId="0" applyBorder="1"/>
    <xf numFmtId="0" fontId="0" fillId="0" borderId="0" xfId="0" applyBorder="1"/>
    <xf numFmtId="164" fontId="0" fillId="0" borderId="0" xfId="1" applyNumberFormat="1" applyFont="1" applyBorder="1"/>
    <xf numFmtId="0" fontId="0" fillId="0" borderId="1" xfId="0" applyFill="1" applyBorder="1"/>
    <xf numFmtId="0" fontId="2" fillId="0" borderId="1" xfId="0" applyFon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5" borderId="1" xfId="0" applyFill="1" applyBorder="1"/>
    <xf numFmtId="165" fontId="0" fillId="5" borderId="1" xfId="0" applyNumberFormat="1" applyFill="1" applyBorder="1"/>
    <xf numFmtId="1" fontId="0" fillId="6" borderId="1" xfId="0" applyNumberFormat="1" applyFill="1" applyBorder="1"/>
    <xf numFmtId="164" fontId="0" fillId="3" borderId="1" xfId="1" applyNumberFormat="1" applyFont="1" applyFill="1" applyBorder="1"/>
    <xf numFmtId="164" fontId="0" fillId="4" borderId="1" xfId="1" applyNumberFormat="1" applyFont="1" applyFill="1" applyBorder="1"/>
    <xf numFmtId="164" fontId="0" fillId="4" borderId="1" xfId="0" applyNumberFormat="1" applyFill="1" applyBorder="1"/>
    <xf numFmtId="164" fontId="0" fillId="6" borderId="1" xfId="1" applyNumberFormat="1" applyFont="1" applyFill="1" applyBorder="1"/>
    <xf numFmtId="44" fontId="0" fillId="2" borderId="1" xfId="1" applyFont="1" applyFill="1" applyBorder="1"/>
    <xf numFmtId="164" fontId="0" fillId="6" borderId="1" xfId="0" applyNumberFormat="1" applyFill="1" applyBorder="1"/>
    <xf numFmtId="164" fontId="0" fillId="0" borderId="0" xfId="0" applyNumberFormat="1" applyBorder="1"/>
    <xf numFmtId="43" fontId="0" fillId="0" borderId="0" xfId="2" applyFont="1"/>
    <xf numFmtId="164" fontId="0" fillId="5" borderId="1" xfId="1" applyNumberFormat="1" applyFont="1" applyFill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44"/>
  <sheetViews>
    <sheetView tabSelected="1" topLeftCell="A16" workbookViewId="0">
      <selection activeCell="E26" sqref="E26"/>
    </sheetView>
  </sheetViews>
  <sheetFormatPr defaultRowHeight="14.4" x14ac:dyDescent="0.3"/>
  <cols>
    <col min="1" max="1" width="2" customWidth="1"/>
    <col min="2" max="2" width="25.33203125" customWidth="1"/>
    <col min="3" max="3" width="18.109375" customWidth="1"/>
    <col min="4" max="4" width="14.6640625" bestFit="1" customWidth="1"/>
    <col min="5" max="5" width="12" bestFit="1" customWidth="1"/>
    <col min="6" max="6" width="18.109375" customWidth="1"/>
    <col min="7" max="7" width="6.5546875" customWidth="1"/>
    <col min="9" max="9" width="15.88671875" customWidth="1"/>
    <col min="10" max="10" width="10.88671875" customWidth="1"/>
    <col min="11" max="11" width="11.5546875" bestFit="1" customWidth="1"/>
    <col min="13" max="13" width="12.5546875" bestFit="1" customWidth="1"/>
  </cols>
  <sheetData>
    <row r="2" spans="2:10" x14ac:dyDescent="0.3">
      <c r="F2" s="7" t="s">
        <v>28</v>
      </c>
    </row>
    <row r="3" spans="2:10" x14ac:dyDescent="0.3">
      <c r="B3" s="6" t="s">
        <v>10</v>
      </c>
      <c r="C3" s="2"/>
      <c r="D3" s="2"/>
      <c r="F3" s="10" t="s">
        <v>29</v>
      </c>
    </row>
    <row r="4" spans="2:10" x14ac:dyDescent="0.3">
      <c r="B4" s="2" t="s">
        <v>11</v>
      </c>
      <c r="C4" s="12">
        <v>30</v>
      </c>
      <c r="D4" s="2" t="s">
        <v>12</v>
      </c>
      <c r="F4" s="8" t="s">
        <v>30</v>
      </c>
      <c r="H4" t="s">
        <v>47</v>
      </c>
      <c r="I4">
        <f>(PI()/4)*(30/12)^2</f>
        <v>4.908738521234052</v>
      </c>
      <c r="J4" t="s">
        <v>46</v>
      </c>
    </row>
    <row r="5" spans="2:10" x14ac:dyDescent="0.3">
      <c r="B5" s="2" t="s">
        <v>13</v>
      </c>
      <c r="C5" s="12">
        <v>490</v>
      </c>
      <c r="D5" s="2" t="s">
        <v>14</v>
      </c>
      <c r="F5" s="11" t="s">
        <v>31</v>
      </c>
    </row>
    <row r="6" spans="2:10" x14ac:dyDescent="0.3">
      <c r="B6" s="2" t="s">
        <v>34</v>
      </c>
      <c r="C6" s="14">
        <v>0.25</v>
      </c>
      <c r="D6" s="2" t="s">
        <v>12</v>
      </c>
      <c r="H6" t="s">
        <v>43</v>
      </c>
      <c r="I6">
        <f xml:space="preserve"> ((30-(2*C6))^2)*(PI()/4)/144</f>
        <v>4.7464774423377039</v>
      </c>
      <c r="J6" t="s">
        <v>46</v>
      </c>
    </row>
    <row r="7" spans="2:10" x14ac:dyDescent="0.3">
      <c r="B7" s="2" t="s">
        <v>35</v>
      </c>
      <c r="C7" s="14">
        <v>0.375</v>
      </c>
      <c r="D7" s="2" t="s">
        <v>12</v>
      </c>
      <c r="H7" t="s">
        <v>44</v>
      </c>
      <c r="I7">
        <f t="shared" ref="I7:I8" si="0" xml:space="preserve"> ((30-(2*C7))^2)*(PI()/4)/144</f>
        <v>4.66636955674812</v>
      </c>
      <c r="J7" t="s">
        <v>46</v>
      </c>
    </row>
    <row r="8" spans="2:10" x14ac:dyDescent="0.3">
      <c r="B8" s="2" t="s">
        <v>36</v>
      </c>
      <c r="C8" s="14">
        <v>0.5</v>
      </c>
      <c r="D8" s="2" t="s">
        <v>12</v>
      </c>
      <c r="H8" t="s">
        <v>45</v>
      </c>
      <c r="I8">
        <f t="shared" si="0"/>
        <v>4.5869434403975973</v>
      </c>
      <c r="J8" t="s">
        <v>46</v>
      </c>
    </row>
    <row r="9" spans="2:10" x14ac:dyDescent="0.3">
      <c r="B9" s="2" t="s">
        <v>38</v>
      </c>
      <c r="C9" s="13">
        <v>150000</v>
      </c>
      <c r="D9" s="2" t="s">
        <v>33</v>
      </c>
    </row>
    <row r="10" spans="2:10" x14ac:dyDescent="0.3">
      <c r="B10" s="2" t="s">
        <v>39</v>
      </c>
      <c r="C10" s="13">
        <v>30000</v>
      </c>
      <c r="D10" s="2" t="s">
        <v>33</v>
      </c>
      <c r="F10" s="9" t="s">
        <v>37</v>
      </c>
    </row>
    <row r="11" spans="2:10" x14ac:dyDescent="0.3">
      <c r="B11" s="2" t="s">
        <v>40</v>
      </c>
      <c r="C11" s="13">
        <v>20000</v>
      </c>
      <c r="D11" s="2" t="s">
        <v>33</v>
      </c>
      <c r="F11" s="9" t="str">
        <f>IF(SUM(C9:C11)=200000,"OK","Lengths Not Sufficient")</f>
        <v>OK</v>
      </c>
    </row>
    <row r="12" spans="2:10" x14ac:dyDescent="0.3">
      <c r="B12" s="2" t="s">
        <v>0</v>
      </c>
      <c r="C12" s="15">
        <f xml:space="preserve"> (((I4-I6)*C9)+((I4-I7)*C10)+((I4-I8)*C11))*C5/2000</f>
        <v>9321.3024345110207</v>
      </c>
      <c r="D12" s="2" t="s">
        <v>32</v>
      </c>
    </row>
    <row r="14" spans="2:10" x14ac:dyDescent="0.3">
      <c r="C14" s="23"/>
    </row>
    <row r="15" spans="2:10" x14ac:dyDescent="0.3">
      <c r="B15" s="6" t="s">
        <v>24</v>
      </c>
    </row>
    <row r="16" spans="2:10" x14ac:dyDescent="0.3">
      <c r="B16" s="6" t="s">
        <v>2</v>
      </c>
      <c r="C16" s="6" t="s">
        <v>4</v>
      </c>
      <c r="D16" s="6" t="s">
        <v>5</v>
      </c>
      <c r="E16" s="6" t="s">
        <v>8</v>
      </c>
      <c r="F16" s="6" t="s">
        <v>9</v>
      </c>
    </row>
    <row r="17" spans="2:6" x14ac:dyDescent="0.3">
      <c r="B17" s="2" t="s">
        <v>41</v>
      </c>
      <c r="C17" s="13">
        <v>4</v>
      </c>
      <c r="D17" s="13">
        <v>10</v>
      </c>
      <c r="E17" s="20">
        <v>5000</v>
      </c>
      <c r="F17" s="17">
        <f>E17*D17*C17</f>
        <v>200000</v>
      </c>
    </row>
    <row r="18" spans="2:6" x14ac:dyDescent="0.3">
      <c r="B18" s="2" t="s">
        <v>42</v>
      </c>
      <c r="C18" s="13"/>
      <c r="D18" s="13"/>
      <c r="E18" s="20">
        <v>15000</v>
      </c>
      <c r="F18" s="17">
        <f>E18*D18*C18</f>
        <v>0</v>
      </c>
    </row>
    <row r="19" spans="2:6" x14ac:dyDescent="0.3">
      <c r="B19" s="2" t="s">
        <v>3</v>
      </c>
      <c r="C19" s="13">
        <v>6</v>
      </c>
      <c r="D19" s="13">
        <v>2</v>
      </c>
      <c r="E19" s="20">
        <v>1000</v>
      </c>
      <c r="F19" s="17">
        <f>E19*D19*C19</f>
        <v>12000</v>
      </c>
    </row>
    <row r="20" spans="2:6" x14ac:dyDescent="0.3">
      <c r="B20" s="2" t="s">
        <v>6</v>
      </c>
      <c r="C20" s="13">
        <v>5</v>
      </c>
      <c r="D20" s="13">
        <v>5</v>
      </c>
      <c r="E20" s="20">
        <v>50000</v>
      </c>
      <c r="F20" s="17">
        <f>E20*D20*C20</f>
        <v>1250000</v>
      </c>
    </row>
    <row r="21" spans="2:6" x14ac:dyDescent="0.3">
      <c r="B21" s="2" t="s">
        <v>7</v>
      </c>
      <c r="C21" s="13">
        <v>2</v>
      </c>
      <c r="D21" s="13">
        <v>5</v>
      </c>
      <c r="E21" s="20">
        <v>15000</v>
      </c>
      <c r="F21" s="17">
        <f>E21*D21*C21</f>
        <v>150000</v>
      </c>
    </row>
    <row r="22" spans="2:6" x14ac:dyDescent="0.3">
      <c r="B22" s="2"/>
      <c r="C22" s="2"/>
      <c r="D22" s="2"/>
      <c r="E22" s="2"/>
      <c r="F22" s="19">
        <f>SUM(F17:F21)</f>
        <v>1612000</v>
      </c>
    </row>
    <row r="23" spans="2:6" x14ac:dyDescent="0.3">
      <c r="B23" s="3"/>
      <c r="C23" s="3"/>
      <c r="D23" s="3"/>
      <c r="E23" s="3"/>
      <c r="F23" s="4"/>
    </row>
    <row r="24" spans="2:6" x14ac:dyDescent="0.3">
      <c r="B24" s="6" t="s">
        <v>17</v>
      </c>
      <c r="C24" s="6" t="s">
        <v>4</v>
      </c>
      <c r="D24" s="6" t="s">
        <v>1</v>
      </c>
      <c r="E24" s="6" t="s">
        <v>9</v>
      </c>
    </row>
    <row r="25" spans="2:6" x14ac:dyDescent="0.3">
      <c r="B25" s="2" t="s">
        <v>18</v>
      </c>
      <c r="C25" s="13">
        <v>1</v>
      </c>
      <c r="D25" s="24">
        <v>3000000</v>
      </c>
      <c r="E25" s="16">
        <f>C25*D25</f>
        <v>3000000</v>
      </c>
    </row>
    <row r="26" spans="2:6" x14ac:dyDescent="0.3">
      <c r="B26" s="2" t="s">
        <v>19</v>
      </c>
      <c r="C26" s="13"/>
      <c r="D26" s="24"/>
      <c r="E26" s="16">
        <f t="shared" ref="E26:E30" si="1">C26*D26</f>
        <v>0</v>
      </c>
    </row>
    <row r="27" spans="2:6" x14ac:dyDescent="0.3">
      <c r="B27" s="2" t="s">
        <v>20</v>
      </c>
      <c r="C27" s="13"/>
      <c r="D27" s="24"/>
      <c r="E27" s="16">
        <f t="shared" si="1"/>
        <v>0</v>
      </c>
    </row>
    <row r="28" spans="2:6" x14ac:dyDescent="0.3">
      <c r="B28" s="2" t="s">
        <v>21</v>
      </c>
      <c r="C28" s="13"/>
      <c r="D28" s="24"/>
      <c r="E28" s="16">
        <f t="shared" si="1"/>
        <v>0</v>
      </c>
    </row>
    <row r="29" spans="2:6" x14ac:dyDescent="0.3">
      <c r="B29" s="2" t="s">
        <v>22</v>
      </c>
      <c r="C29" s="13"/>
      <c r="D29" s="24"/>
      <c r="E29" s="16">
        <f t="shared" si="1"/>
        <v>0</v>
      </c>
    </row>
    <row r="30" spans="2:6" x14ac:dyDescent="0.3">
      <c r="B30" s="2" t="s">
        <v>23</v>
      </c>
      <c r="C30" s="13"/>
      <c r="D30" s="24"/>
      <c r="E30" s="16">
        <f t="shared" si="1"/>
        <v>0</v>
      </c>
    </row>
    <row r="31" spans="2:6" x14ac:dyDescent="0.3">
      <c r="B31" s="3"/>
      <c r="C31" s="3"/>
      <c r="D31" s="4"/>
      <c r="E31" s="21">
        <f>SUM(E25:E30)</f>
        <v>3000000</v>
      </c>
      <c r="F31" s="4"/>
    </row>
    <row r="32" spans="2:6" x14ac:dyDescent="0.3">
      <c r="B32" s="3"/>
      <c r="C32" s="3"/>
      <c r="D32" s="4"/>
      <c r="E32" s="22"/>
      <c r="F32" s="4"/>
    </row>
    <row r="33" spans="2:3" x14ac:dyDescent="0.3">
      <c r="B33" s="6" t="s">
        <v>25</v>
      </c>
      <c r="C33" s="2"/>
    </row>
    <row r="34" spans="2:3" x14ac:dyDescent="0.3">
      <c r="B34" s="2" t="s">
        <v>15</v>
      </c>
      <c r="C34" s="17">
        <f>C12*2000</f>
        <v>18642604.869022042</v>
      </c>
    </row>
    <row r="35" spans="2:3" x14ac:dyDescent="0.3">
      <c r="B35" s="2" t="s">
        <v>16</v>
      </c>
      <c r="C35" s="18">
        <f>E31</f>
        <v>3000000</v>
      </c>
    </row>
    <row r="36" spans="2:3" x14ac:dyDescent="0.3">
      <c r="B36" s="2" t="s">
        <v>26</v>
      </c>
      <c r="C36" s="18">
        <f>F22</f>
        <v>1612000</v>
      </c>
    </row>
    <row r="37" spans="2:3" x14ac:dyDescent="0.3">
      <c r="B37" s="2" t="s">
        <v>27</v>
      </c>
      <c r="C37" s="18">
        <f>C34*2</f>
        <v>37285209.738044083</v>
      </c>
    </row>
    <row r="38" spans="2:3" x14ac:dyDescent="0.3">
      <c r="B38" s="5" t="s">
        <v>9</v>
      </c>
      <c r="C38" s="21">
        <f>SUM(C34:C37)</f>
        <v>60539814.607066125</v>
      </c>
    </row>
    <row r="44" spans="2:3" x14ac:dyDescent="0.3">
      <c r="C4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 Estimating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Aishwarya Mantha</dc:creator>
  <cp:lastModifiedBy>Joe</cp:lastModifiedBy>
  <cp:lastPrinted>2019-08-27T21:54:18Z</cp:lastPrinted>
  <dcterms:created xsi:type="dcterms:W3CDTF">2019-07-30T22:41:01Z</dcterms:created>
  <dcterms:modified xsi:type="dcterms:W3CDTF">2019-10-09T01:48:25Z</dcterms:modified>
</cp:coreProperties>
</file>